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\OneDrive\Documents\"/>
    </mc:Choice>
  </mc:AlternateContent>
  <xr:revisionPtr revIDLastSave="0" documentId="13_ncr:1_{C957182B-C024-452E-A918-5637665DA98B}" xr6:coauthVersionLast="47" xr6:coauthVersionMax="47" xr10:uidLastSave="{00000000-0000-0000-0000-000000000000}"/>
  <bookViews>
    <workbookView xWindow="-110" yWindow="-110" windowWidth="19420" windowHeight="10300" xr2:uid="{EEF78204-DD69-4C40-A6FA-382019BF4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D17" i="1"/>
  <c r="D16" i="1"/>
  <c r="L12" i="1"/>
  <c r="L9" i="1"/>
  <c r="L7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<sst xmlns="http://schemas.openxmlformats.org/spreadsheetml/2006/main" count="33" uniqueCount="29">
  <si>
    <t>College name</t>
  </si>
  <si>
    <t>Program</t>
  </si>
  <si>
    <t>Fee /semester</t>
  </si>
  <si>
    <t>anual fee</t>
  </si>
  <si>
    <t>exam fee</t>
  </si>
  <si>
    <t>hostel fee</t>
  </si>
  <si>
    <t>total fee</t>
  </si>
  <si>
    <t>S.NO.</t>
  </si>
  <si>
    <t>Coer college</t>
  </si>
  <si>
    <t>Quantam university</t>
  </si>
  <si>
    <t>Graphic era</t>
  </si>
  <si>
    <t>UPES Dehradun</t>
  </si>
  <si>
    <t>Uttranchal university</t>
  </si>
  <si>
    <t>Haridwar university</t>
  </si>
  <si>
    <t>IIT ,Bombay</t>
  </si>
  <si>
    <t>IIT ,Patna</t>
  </si>
  <si>
    <t>IIT,Madras</t>
  </si>
  <si>
    <t>IISCER ,Banglore</t>
  </si>
  <si>
    <t>BSc.</t>
  </si>
  <si>
    <t>BCA</t>
  </si>
  <si>
    <t>B.Tech</t>
  </si>
  <si>
    <t>M.Tech</t>
  </si>
  <si>
    <t>MCA</t>
  </si>
  <si>
    <t>MBA</t>
  </si>
  <si>
    <t>Maximum =</t>
  </si>
  <si>
    <t>Minimum =</t>
  </si>
  <si>
    <t>Average =</t>
  </si>
  <si>
    <t>Lower =</t>
  </si>
  <si>
    <t>Upper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</si>
</sst>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F6A1-CFAB-4E58-B498-6934C17EC2AB}">
  <dimension ref="A1:L17"/>
  <sheetViews>
    <sheetView tabSelected="1" workbookViewId="0">
      <selection activeCell="J8" sqref="J8"/>
    </sheetView>
  </sheetViews>
  <sheetFormatPr defaultRowHeight="14.5" x14ac:dyDescent="0.35"/>
  <cols>
    <col min="2" max="2" width="18.26953125" customWidth="1"/>
    <col min="3" max="3" width="11.6328125" customWidth="1"/>
    <col min="4" max="4" width="13" customWidth="1"/>
    <col min="5" max="8" width="11.6328125" customWidth="1"/>
    <col min="11" max="11" width="11.90625" customWidth="1"/>
  </cols>
  <sheetData>
    <row r="1" spans="1:12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2" x14ac:dyDescent="0.35">
      <c r="A2">
        <v>1</v>
      </c>
      <c r="B2" t="s">
        <v>8</v>
      </c>
      <c r="C2" t="s">
        <v>18</v>
      </c>
      <c r="D2">
        <v>50020</v>
      </c>
      <c r="E2">
        <v>100200</v>
      </c>
      <c r="F2">
        <v>8002</v>
      </c>
      <c r="G2">
        <v>91002</v>
      </c>
      <c r="H2">
        <f>SUM(D2:G2)</f>
        <v>249224</v>
      </c>
    </row>
    <row r="3" spans="1:12" x14ac:dyDescent="0.35">
      <c r="A3">
        <v>2</v>
      </c>
      <c r="B3" t="s">
        <v>9</v>
      </c>
      <c r="C3" t="s">
        <v>19</v>
      </c>
      <c r="D3">
        <v>45002</v>
      </c>
      <c r="E3">
        <v>90020</v>
      </c>
      <c r="F3">
        <v>7002</v>
      </c>
      <c r="G3">
        <v>94002</v>
      </c>
      <c r="H3">
        <f t="shared" ref="H3:H11" si="0">SUM(D3:G3)</f>
        <v>236026</v>
      </c>
    </row>
    <row r="4" spans="1:12" x14ac:dyDescent="0.35">
      <c r="A4">
        <v>3</v>
      </c>
      <c r="B4" t="s">
        <v>10</v>
      </c>
      <c r="C4" t="s">
        <v>20</v>
      </c>
      <c r="D4">
        <v>60020</v>
      </c>
      <c r="E4">
        <v>120020</v>
      </c>
      <c r="F4">
        <v>9500</v>
      </c>
      <c r="G4">
        <v>95002</v>
      </c>
      <c r="H4">
        <f t="shared" si="0"/>
        <v>284542</v>
      </c>
    </row>
    <row r="5" spans="1:12" x14ac:dyDescent="0.35">
      <c r="A5">
        <v>4</v>
      </c>
      <c r="B5" t="s">
        <v>11</v>
      </c>
      <c r="C5" t="s">
        <v>21</v>
      </c>
      <c r="D5">
        <v>80020</v>
      </c>
      <c r="E5">
        <v>160020</v>
      </c>
      <c r="F5">
        <v>9002</v>
      </c>
      <c r="G5">
        <v>120020</v>
      </c>
      <c r="H5">
        <f t="shared" si="0"/>
        <v>369062</v>
      </c>
    </row>
    <row r="6" spans="1:12" x14ac:dyDescent="0.35">
      <c r="A6">
        <v>5</v>
      </c>
      <c r="B6" t="s">
        <v>12</v>
      </c>
      <c r="C6" t="s">
        <v>22</v>
      </c>
      <c r="D6">
        <v>70020</v>
      </c>
      <c r="E6">
        <v>140020</v>
      </c>
      <c r="F6">
        <v>7002</v>
      </c>
      <c r="G6">
        <v>98002</v>
      </c>
      <c r="H6">
        <f t="shared" si="0"/>
        <v>315044</v>
      </c>
    </row>
    <row r="7" spans="1:12" x14ac:dyDescent="0.35">
      <c r="A7">
        <v>6</v>
      </c>
      <c r="B7" t="s">
        <v>13</v>
      </c>
      <c r="C7" t="s">
        <v>23</v>
      </c>
      <c r="D7">
        <v>60020</v>
      </c>
      <c r="E7">
        <v>120020</v>
      </c>
      <c r="F7">
        <v>6500</v>
      </c>
      <c r="G7">
        <v>94002</v>
      </c>
      <c r="H7">
        <f t="shared" si="0"/>
        <v>280542</v>
      </c>
      <c r="K7" t="s">
        <v>24</v>
      </c>
      <c r="L7">
        <f>MAX(D2:G11)</f>
        <v>190020</v>
      </c>
    </row>
    <row r="8" spans="1:12" x14ac:dyDescent="0.35">
      <c r="A8">
        <v>7</v>
      </c>
      <c r="B8" t="s">
        <v>14</v>
      </c>
      <c r="C8" t="s">
        <v>20</v>
      </c>
      <c r="D8">
        <v>65002</v>
      </c>
      <c r="E8">
        <v>130020</v>
      </c>
      <c r="F8">
        <v>8500</v>
      </c>
      <c r="G8">
        <v>45002</v>
      </c>
      <c r="H8">
        <f t="shared" si="0"/>
        <v>248524</v>
      </c>
    </row>
    <row r="9" spans="1:12" x14ac:dyDescent="0.35">
      <c r="A9">
        <v>8</v>
      </c>
      <c r="B9" t="s">
        <v>15</v>
      </c>
      <c r="C9" t="s">
        <v>18</v>
      </c>
      <c r="D9">
        <v>55002</v>
      </c>
      <c r="E9">
        <v>110020</v>
      </c>
      <c r="F9">
        <v>5002</v>
      </c>
      <c r="G9">
        <v>48002</v>
      </c>
      <c r="H9">
        <f t="shared" si="0"/>
        <v>218026</v>
      </c>
      <c r="K9" t="s">
        <v>25</v>
      </c>
      <c r="L9">
        <f>MIN(D2:G11)</f>
        <v>5002</v>
      </c>
    </row>
    <row r="10" spans="1:12" x14ac:dyDescent="0.35">
      <c r="A10">
        <v>9</v>
      </c>
      <c r="B10" t="s">
        <v>16</v>
      </c>
      <c r="C10" t="s">
        <v>21</v>
      </c>
      <c r="D10">
        <v>50020</v>
      </c>
      <c r="E10">
        <v>100200</v>
      </c>
      <c r="F10">
        <v>7002</v>
      </c>
      <c r="G10">
        <v>49002</v>
      </c>
      <c r="H10">
        <f t="shared" si="0"/>
        <v>206224</v>
      </c>
    </row>
    <row r="11" spans="1:12" x14ac:dyDescent="0.35">
      <c r="A11">
        <v>10</v>
      </c>
      <c r="B11" t="s">
        <v>17</v>
      </c>
      <c r="C11" t="s">
        <v>22</v>
      </c>
      <c r="D11">
        <v>95002</v>
      </c>
      <c r="E11">
        <v>190020</v>
      </c>
      <c r="F11">
        <v>10020</v>
      </c>
      <c r="G11">
        <v>150020</v>
      </c>
      <c r="H11">
        <f t="shared" si="0"/>
        <v>445062</v>
      </c>
    </row>
    <row r="12" spans="1:12" x14ac:dyDescent="0.35">
      <c r="K12" t="s">
        <v>26</v>
      </c>
      <c r="L12">
        <f>AVERAGE(D2:G11)</f>
        <v>71306.899999999994</v>
      </c>
    </row>
    <row r="16" spans="1:12" x14ac:dyDescent="0.35">
      <c r="C16" t="s">
        <v>28</v>
      </c>
      <c r="D16" t="str">
        <f>UPPER(C1)</f>
        <v>PROGRAM</v>
      </c>
      <c r="E16" t="str">
        <f>UPPER(D1)</f>
        <v>FEE /SEMESTER</v>
      </c>
    </row>
    <row r="17" spans="3:4" x14ac:dyDescent="0.35">
      <c r="C17" t="s">
        <v>27</v>
      </c>
      <c r="D17" t="str">
        <f>LOWER(C6)</f>
        <v>mca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Joshi</dc:creator>
  <cp:lastModifiedBy>Nitin Joshi</cp:lastModifiedBy>
  <dcterms:created xsi:type="dcterms:W3CDTF">2025-10-09T05:55:10Z</dcterms:created>
  <dcterms:modified xsi:type="dcterms:W3CDTF">2025-10-29T13:43:17Z</dcterms:modified>
</cp:coreProperties>
</file>