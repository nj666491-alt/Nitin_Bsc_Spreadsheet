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aer\OneDrive\Documents\"/>
    </mc:Choice>
  </mc:AlternateContent>
  <xr:revisionPtr revIDLastSave="0" documentId="13_ncr:1_{84B476D9-8B35-417E-AAFF-5F37B946BC72}" xr6:coauthVersionLast="47" xr6:coauthVersionMax="47" xr10:uidLastSave="{00000000-0000-0000-0000-000000000000}"/>
  <bookViews>
    <workbookView xWindow="-110" yWindow="-110" windowWidth="19420" windowHeight="10300" xr2:uid="{62D96BB2-EFDD-475A-97DF-3B23C2531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1" l="1"/>
  <c r="L16" i="1" s="1"/>
  <c r="O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H4" i="1"/>
  <c r="K4" i="1" s="1"/>
  <c r="L4" i="1" s="1"/>
  <c r="H5" i="1"/>
  <c r="K5" i="1" s="1"/>
  <c r="L5" i="1" s="1"/>
  <c r="H6" i="1"/>
  <c r="K6" i="1" s="1"/>
  <c r="L6" i="1" s="1"/>
  <c r="H7" i="1"/>
  <c r="K7" i="1" s="1"/>
  <c r="L7" i="1" s="1"/>
  <c r="H8" i="1"/>
  <c r="K8" i="1" s="1"/>
  <c r="L8" i="1" s="1"/>
  <c r="H9" i="1"/>
  <c r="K9" i="1" s="1"/>
  <c r="L9" i="1" s="1"/>
  <c r="H10" i="1"/>
  <c r="K10" i="1" s="1"/>
  <c r="L10" i="1" s="1"/>
  <c r="H11" i="1"/>
  <c r="K11" i="1" s="1"/>
  <c r="L11" i="1" s="1"/>
  <c r="H12" i="1"/>
  <c r="K12" i="1" s="1"/>
  <c r="L12" i="1" s="1"/>
  <c r="H13" i="1"/>
  <c r="K13" i="1" s="1"/>
  <c r="L13" i="1" s="1"/>
  <c r="H14" i="1"/>
  <c r="K14" i="1" s="1"/>
  <c r="L14" i="1" s="1"/>
  <c r="H15" i="1"/>
  <c r="K15" i="1" s="1"/>
  <c r="L15" i="1" s="1"/>
  <c r="H16" i="1"/>
  <c r="H17" i="1"/>
  <c r="K17" i="1" s="1"/>
  <c r="L17" i="1" s="1"/>
  <c r="H18" i="1"/>
  <c r="K18" i="1" s="1"/>
  <c r="L18" i="1" s="1"/>
  <c r="H19" i="1"/>
  <c r="K19" i="1" s="1"/>
  <c r="L19" i="1" s="1"/>
  <c r="H20" i="1"/>
  <c r="K20" i="1" s="1"/>
  <c r="L20" i="1" s="1"/>
  <c r="H21" i="1"/>
  <c r="K21" i="1" s="1"/>
  <c r="L21" i="1" s="1"/>
  <c r="H22" i="1"/>
  <c r="K22" i="1" s="1"/>
  <c r="L22" i="1" s="1"/>
  <c r="H3" i="1"/>
  <c r="K3" i="1" s="1"/>
  <c r="L3" i="1" s="1"/>
</calcChain>
</file>

<file path=xl/sharedStrings.xml><?xml version="1.0" encoding="utf-8"?>
<sst xmlns="http://schemas.openxmlformats.org/spreadsheetml/2006/main" count="54" uniqueCount="54">
  <si>
    <t>Name</t>
  </si>
  <si>
    <t>CUID</t>
  </si>
  <si>
    <t>English</t>
  </si>
  <si>
    <t>S.science</t>
  </si>
  <si>
    <t>Hindi</t>
  </si>
  <si>
    <t>Science</t>
  </si>
  <si>
    <t>Maths</t>
  </si>
  <si>
    <t>Total marks</t>
  </si>
  <si>
    <t>Obitained  marks</t>
  </si>
  <si>
    <t>Niitn</t>
  </si>
  <si>
    <t xml:space="preserve">Nancy </t>
  </si>
  <si>
    <t>Prince</t>
  </si>
  <si>
    <t>Vansh</t>
  </si>
  <si>
    <t xml:space="preserve">Akash </t>
  </si>
  <si>
    <t>Suhail</t>
  </si>
  <si>
    <t>Maviya</t>
  </si>
  <si>
    <t>Rishab</t>
  </si>
  <si>
    <t>Rudraksh</t>
  </si>
  <si>
    <t>Aman</t>
  </si>
  <si>
    <t>Anish</t>
  </si>
  <si>
    <t>Ashish</t>
  </si>
  <si>
    <t>Akshit</t>
  </si>
  <si>
    <t>Akshaya</t>
  </si>
  <si>
    <t>Rohan</t>
  </si>
  <si>
    <t>Ritik</t>
  </si>
  <si>
    <t>Ravi</t>
  </si>
  <si>
    <t>Ram</t>
  </si>
  <si>
    <t>Vikash</t>
  </si>
  <si>
    <t>Vinod</t>
  </si>
  <si>
    <t>CU2537002</t>
  </si>
  <si>
    <t>CU2537003</t>
  </si>
  <si>
    <t>CU2537004</t>
  </si>
  <si>
    <t>CU2537001</t>
  </si>
  <si>
    <t>CU2537005</t>
  </si>
  <si>
    <t>CU2537006</t>
  </si>
  <si>
    <t>CU2537007</t>
  </si>
  <si>
    <t>CU2537008</t>
  </si>
  <si>
    <t>CU2537009</t>
  </si>
  <si>
    <t>CU2537010</t>
  </si>
  <si>
    <t>CU2537011</t>
  </si>
  <si>
    <t>CU2537012</t>
  </si>
  <si>
    <t>CU2537013</t>
  </si>
  <si>
    <t>CU2537014</t>
  </si>
  <si>
    <t>CU2537015</t>
  </si>
  <si>
    <t>CU2537016</t>
  </si>
  <si>
    <t>CU2537017</t>
  </si>
  <si>
    <t>CU2537018</t>
  </si>
  <si>
    <t>CU2537019</t>
  </si>
  <si>
    <t>CU2537020</t>
  </si>
  <si>
    <t>Average marks</t>
  </si>
  <si>
    <t>SUBJECTS</t>
  </si>
  <si>
    <r>
      <rPr>
        <sz val="11"/>
        <color theme="1"/>
        <rFont val="Arial Black"/>
        <family val="2"/>
      </rPr>
      <t>Highest marks</t>
    </r>
    <r>
      <rPr>
        <sz val="11"/>
        <color theme="1"/>
        <rFont val="Calibri"/>
        <family val="2"/>
        <scheme val="minor"/>
      </rPr>
      <t xml:space="preserve">  =</t>
    </r>
  </si>
  <si>
    <t>Percentage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</si>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</sst>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lgerian"/>
      <family val="5"/>
    </font>
    <font>
      <sz val="11"/>
      <color theme="1"/>
      <name val="Arial Black"/>
      <family val="2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0" fontId="0" fillId="7" borderId="4" xfId="0" applyFill="1" applyBorder="1"/>
    <xf numFmtId="0" fontId="0" fillId="8" borderId="4" xfId="0" applyFill="1" applyBorder="1"/>
    <xf numFmtId="0" fontId="0" fillId="9" borderId="4" xfId="0" applyFill="1" applyBorder="1"/>
    <xf numFmtId="0" fontId="0" fillId="10" borderId="4" xfId="0" applyFill="1" applyBorder="1"/>
    <xf numFmtId="0" fontId="3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11" borderId="2" xfId="0" applyFill="1" applyBorder="1"/>
    <xf numFmtId="0" fontId="0" fillId="14" borderId="3" xfId="0" applyFill="1" applyBorder="1"/>
    <xf numFmtId="0" fontId="0" fillId="15" borderId="3" xfId="0" applyFill="1" applyBorder="1"/>
    <xf numFmtId="0" fontId="0" fillId="0" borderId="1" xfId="0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0" fillId="12" borderId="0" xfId="0" applyFill="1" applyBorder="1"/>
    <xf numFmtId="0" fontId="0" fillId="0" borderId="10" xfId="0" applyBorder="1"/>
    <xf numFmtId="0" fontId="0" fillId="0" borderId="9" xfId="0" applyBorder="1"/>
  </cellXfs>
  <cellStyles count="2">
    <cellStyle name="Normal" xfId="0" builtinId="0"/>
    <cellStyle name="Percent" xfId="1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ADD85-07E6-4852-B4CA-E21CC8B180D1}">
  <dimension ref="A1:O22"/>
  <sheetViews>
    <sheetView tabSelected="1" zoomScale="70" zoomScaleNormal="70" workbookViewId="0">
      <selection activeCell="N5" sqref="N5"/>
    </sheetView>
  </sheetViews>
  <sheetFormatPr defaultRowHeight="14.5" x14ac:dyDescent="0.35"/>
  <cols>
    <col min="2" max="2" width="16.453125" customWidth="1"/>
    <col min="3" max="3" width="10.453125" customWidth="1"/>
    <col min="8" max="8" width="16" customWidth="1"/>
    <col min="9" max="9" width="10.6328125" customWidth="1"/>
    <col min="10" max="10" width="14.453125" customWidth="1"/>
    <col min="11" max="13" width="13.08984375" customWidth="1"/>
    <col min="14" max="14" width="19" customWidth="1"/>
  </cols>
  <sheetData>
    <row r="1" spans="1:15" ht="17" thickTop="1" thickBot="1" x14ac:dyDescent="0.45">
      <c r="C1" s="10" t="s">
        <v>50</v>
      </c>
      <c r="D1" s="11"/>
      <c r="E1" s="11"/>
      <c r="F1" s="11"/>
      <c r="G1" s="11"/>
      <c r="H1" s="11"/>
      <c r="I1" s="11"/>
      <c r="J1" s="12"/>
    </row>
    <row r="2" spans="1:15" ht="15.5" thickTop="1" thickBot="1" x14ac:dyDescent="0.4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 t="s">
        <v>8</v>
      </c>
      <c r="I2" s="9" t="s">
        <v>7</v>
      </c>
      <c r="J2" s="13" t="s">
        <v>49</v>
      </c>
      <c r="K2" s="14" t="s">
        <v>52</v>
      </c>
      <c r="L2" s="15" t="s">
        <v>53</v>
      </c>
      <c r="M2" s="26"/>
    </row>
    <row r="3" spans="1:15" ht="15.5" thickTop="1" thickBot="1" x14ac:dyDescent="0.4">
      <c r="A3" s="16" t="s">
        <v>9</v>
      </c>
      <c r="B3" s="16" t="s">
        <v>32</v>
      </c>
      <c r="C3" s="17">
        <v>98</v>
      </c>
      <c r="D3" s="17">
        <v>88</v>
      </c>
      <c r="E3" s="17">
        <v>94</v>
      </c>
      <c r="F3" s="17">
        <v>92</v>
      </c>
      <c r="G3" s="17">
        <v>95</v>
      </c>
      <c r="H3" s="18">
        <f>SUM(C3:G3)</f>
        <v>467</v>
      </c>
      <c r="I3" s="25">
        <v>500</v>
      </c>
      <c r="J3" s="19">
        <f>AVERAGE(C3:G3)</f>
        <v>93.4</v>
      </c>
      <c r="K3" s="20">
        <f>(H3/I3)</f>
        <v>0.93400000000000005</v>
      </c>
      <c r="L3" s="21" t="str">
        <f>IF(80%&lt;K3,"PASS","FAIL")</f>
        <v>PASS</v>
      </c>
      <c r="M3" s="24"/>
    </row>
    <row r="4" spans="1:15" ht="15.5" thickTop="1" thickBot="1" x14ac:dyDescent="0.4">
      <c r="A4" s="16" t="s">
        <v>10</v>
      </c>
      <c r="B4" s="16" t="s">
        <v>29</v>
      </c>
      <c r="C4" s="17">
        <v>88</v>
      </c>
      <c r="D4" s="17">
        <v>87</v>
      </c>
      <c r="E4" s="17">
        <v>86</v>
      </c>
      <c r="F4" s="17">
        <v>85</v>
      </c>
      <c r="G4" s="17">
        <v>84</v>
      </c>
      <c r="H4" s="18">
        <f t="shared" ref="H4:H22" si="0">SUM(C4:G4)</f>
        <v>430</v>
      </c>
      <c r="I4" s="25">
        <v>500</v>
      </c>
      <c r="J4" s="19">
        <f t="shared" ref="J4:J22" si="1">AVERAGE(C4:G4)</f>
        <v>86</v>
      </c>
      <c r="K4" s="20">
        <f t="shared" ref="K4:K22" si="2">(H4/I4)</f>
        <v>0.86</v>
      </c>
      <c r="L4" s="21" t="str">
        <f t="shared" ref="L4:L22" si="3">IF(80%&lt;K4,"PASS","FAIL")</f>
        <v>PASS</v>
      </c>
      <c r="M4" s="24"/>
      <c r="N4" s="24"/>
    </row>
    <row r="5" spans="1:15" ht="18" thickTop="1" thickBot="1" x14ac:dyDescent="0.55000000000000004">
      <c r="A5" s="16" t="s">
        <v>11</v>
      </c>
      <c r="B5" s="16" t="s">
        <v>30</v>
      </c>
      <c r="C5" s="17">
        <v>86</v>
      </c>
      <c r="D5" s="17">
        <v>84</v>
      </c>
      <c r="E5" s="17">
        <v>83</v>
      </c>
      <c r="F5" s="17">
        <v>82</v>
      </c>
      <c r="G5" s="17">
        <v>81</v>
      </c>
      <c r="H5" s="18">
        <f t="shared" si="0"/>
        <v>416</v>
      </c>
      <c r="I5" s="25">
        <v>500</v>
      </c>
      <c r="J5" s="19">
        <f t="shared" si="1"/>
        <v>83.2</v>
      </c>
      <c r="K5" s="20">
        <f t="shared" si="2"/>
        <v>0.83199999999999996</v>
      </c>
      <c r="L5" s="21" t="str">
        <f t="shared" si="3"/>
        <v>PASS</v>
      </c>
      <c r="M5" s="24"/>
      <c r="N5" s="27" t="s">
        <v>51</v>
      </c>
      <c r="O5" s="28">
        <f>MAX(C3:G22)</f>
        <v>98</v>
      </c>
    </row>
    <row r="6" spans="1:15" ht="15.5" thickTop="1" thickBot="1" x14ac:dyDescent="0.4">
      <c r="A6" s="16" t="s">
        <v>12</v>
      </c>
      <c r="B6" s="16" t="s">
        <v>31</v>
      </c>
      <c r="C6" s="17">
        <v>85</v>
      </c>
      <c r="D6" s="17">
        <v>82</v>
      </c>
      <c r="E6" s="17">
        <v>83</v>
      </c>
      <c r="F6" s="17">
        <v>87</v>
      </c>
      <c r="G6" s="17">
        <v>68</v>
      </c>
      <c r="H6" s="18">
        <f t="shared" si="0"/>
        <v>405</v>
      </c>
      <c r="I6" s="25">
        <v>500</v>
      </c>
      <c r="J6" s="19">
        <f t="shared" si="1"/>
        <v>81</v>
      </c>
      <c r="K6" s="20">
        <f t="shared" si="2"/>
        <v>0.81</v>
      </c>
      <c r="L6" s="21" t="str">
        <f t="shared" si="3"/>
        <v>PASS</v>
      </c>
      <c r="M6" s="24"/>
    </row>
    <row r="7" spans="1:15" ht="15.5" thickTop="1" thickBot="1" x14ac:dyDescent="0.4">
      <c r="A7" s="16" t="s">
        <v>13</v>
      </c>
      <c r="B7" s="16" t="s">
        <v>33</v>
      </c>
      <c r="C7" s="22">
        <v>84</v>
      </c>
      <c r="D7" s="22">
        <v>76</v>
      </c>
      <c r="E7" s="22">
        <v>89</v>
      </c>
      <c r="F7" s="22">
        <v>87</v>
      </c>
      <c r="G7" s="22">
        <v>88</v>
      </c>
      <c r="H7" s="18">
        <f t="shared" si="0"/>
        <v>424</v>
      </c>
      <c r="I7" s="25">
        <v>500</v>
      </c>
      <c r="J7" s="19">
        <f t="shared" si="1"/>
        <v>84.8</v>
      </c>
      <c r="K7" s="20">
        <f t="shared" si="2"/>
        <v>0.84799999999999998</v>
      </c>
      <c r="L7" s="21" t="str">
        <f t="shared" si="3"/>
        <v>PASS</v>
      </c>
      <c r="M7" s="24"/>
    </row>
    <row r="8" spans="1:15" ht="15.5" thickTop="1" thickBot="1" x14ac:dyDescent="0.4">
      <c r="A8" s="16" t="s">
        <v>14</v>
      </c>
      <c r="B8" s="16" t="s">
        <v>34</v>
      </c>
      <c r="C8" s="22">
        <v>84</v>
      </c>
      <c r="D8" s="22">
        <v>75</v>
      </c>
      <c r="E8" s="22">
        <v>74</v>
      </c>
      <c r="F8" s="22">
        <v>78</v>
      </c>
      <c r="G8" s="22">
        <v>79</v>
      </c>
      <c r="H8" s="18">
        <f t="shared" si="0"/>
        <v>390</v>
      </c>
      <c r="I8" s="25">
        <v>500</v>
      </c>
      <c r="J8" s="19">
        <f t="shared" si="1"/>
        <v>78</v>
      </c>
      <c r="K8" s="20">
        <f t="shared" si="2"/>
        <v>0.78</v>
      </c>
      <c r="L8" s="21" t="str">
        <f t="shared" si="3"/>
        <v>FAIL</v>
      </c>
      <c r="M8" s="24"/>
    </row>
    <row r="9" spans="1:15" ht="15.5" thickTop="1" thickBot="1" x14ac:dyDescent="0.4">
      <c r="A9" s="16" t="s">
        <v>15</v>
      </c>
      <c r="B9" s="16" t="s">
        <v>35</v>
      </c>
      <c r="C9" s="22">
        <v>83</v>
      </c>
      <c r="D9" s="22">
        <v>78</v>
      </c>
      <c r="E9" s="22">
        <v>87</v>
      </c>
      <c r="F9" s="22">
        <v>86</v>
      </c>
      <c r="G9" s="22">
        <v>85</v>
      </c>
      <c r="H9" s="18">
        <f t="shared" si="0"/>
        <v>419</v>
      </c>
      <c r="I9" s="25">
        <v>500</v>
      </c>
      <c r="J9" s="19">
        <f t="shared" si="1"/>
        <v>83.8</v>
      </c>
      <c r="K9" s="20">
        <f t="shared" si="2"/>
        <v>0.83799999999999997</v>
      </c>
      <c r="L9" s="21" t="str">
        <f t="shared" si="3"/>
        <v>PASS</v>
      </c>
      <c r="M9" s="24"/>
    </row>
    <row r="10" spans="1:15" ht="15.5" thickTop="1" thickBot="1" x14ac:dyDescent="0.4">
      <c r="A10" s="16" t="s">
        <v>16</v>
      </c>
      <c r="B10" s="16" t="s">
        <v>36</v>
      </c>
      <c r="C10" s="22">
        <v>82</v>
      </c>
      <c r="D10" s="22">
        <v>78</v>
      </c>
      <c r="E10" s="22">
        <v>75</v>
      </c>
      <c r="F10" s="22">
        <v>76</v>
      </c>
      <c r="G10" s="22">
        <v>74</v>
      </c>
      <c r="H10" s="18">
        <f t="shared" si="0"/>
        <v>385</v>
      </c>
      <c r="I10" s="25">
        <v>500</v>
      </c>
      <c r="J10" s="19">
        <f t="shared" si="1"/>
        <v>77</v>
      </c>
      <c r="K10" s="20">
        <f t="shared" si="2"/>
        <v>0.77</v>
      </c>
      <c r="L10" s="21" t="str">
        <f t="shared" si="3"/>
        <v>FAIL</v>
      </c>
      <c r="M10" s="24"/>
    </row>
    <row r="11" spans="1:15" ht="15.5" thickTop="1" thickBot="1" x14ac:dyDescent="0.4">
      <c r="A11" s="16" t="s">
        <v>17</v>
      </c>
      <c r="B11" s="16" t="s">
        <v>37</v>
      </c>
      <c r="C11" s="22">
        <v>88</v>
      </c>
      <c r="D11" s="22">
        <v>89</v>
      </c>
      <c r="E11" s="22">
        <v>76</v>
      </c>
      <c r="F11" s="22">
        <v>76</v>
      </c>
      <c r="G11" s="22">
        <v>78</v>
      </c>
      <c r="H11" s="18">
        <f t="shared" si="0"/>
        <v>407</v>
      </c>
      <c r="I11" s="25">
        <v>500</v>
      </c>
      <c r="J11" s="19">
        <f t="shared" si="1"/>
        <v>81.400000000000006</v>
      </c>
      <c r="K11" s="20">
        <f t="shared" si="2"/>
        <v>0.81399999999999995</v>
      </c>
      <c r="L11" s="21" t="str">
        <f t="shared" si="3"/>
        <v>PASS</v>
      </c>
      <c r="M11" s="24"/>
    </row>
    <row r="12" spans="1:15" ht="15.5" thickTop="1" thickBot="1" x14ac:dyDescent="0.4">
      <c r="A12" s="16" t="s">
        <v>18</v>
      </c>
      <c r="B12" s="16" t="s">
        <v>38</v>
      </c>
      <c r="C12" s="22">
        <v>89</v>
      </c>
      <c r="D12" s="22">
        <v>86</v>
      </c>
      <c r="E12" s="22">
        <v>76</v>
      </c>
      <c r="F12" s="22">
        <v>78</v>
      </c>
      <c r="G12" s="22">
        <v>74</v>
      </c>
      <c r="H12" s="18">
        <f t="shared" si="0"/>
        <v>403</v>
      </c>
      <c r="I12" s="25">
        <v>500</v>
      </c>
      <c r="J12" s="19">
        <f t="shared" si="1"/>
        <v>80.599999999999994</v>
      </c>
      <c r="K12" s="20">
        <f t="shared" si="2"/>
        <v>0.80600000000000005</v>
      </c>
      <c r="L12" s="21" t="str">
        <f t="shared" si="3"/>
        <v>PASS</v>
      </c>
      <c r="M12" s="24"/>
    </row>
    <row r="13" spans="1:15" ht="15.5" thickTop="1" thickBot="1" x14ac:dyDescent="0.4">
      <c r="A13" s="16" t="s">
        <v>19</v>
      </c>
      <c r="B13" s="16" t="s">
        <v>39</v>
      </c>
      <c r="C13" s="22">
        <v>90</v>
      </c>
      <c r="D13" s="22">
        <v>76</v>
      </c>
      <c r="E13" s="22">
        <v>76</v>
      </c>
      <c r="F13" s="22">
        <v>75</v>
      </c>
      <c r="G13" s="22">
        <v>78</v>
      </c>
      <c r="H13" s="18">
        <f t="shared" si="0"/>
        <v>395</v>
      </c>
      <c r="I13" s="25">
        <v>500</v>
      </c>
      <c r="J13" s="19">
        <f t="shared" si="1"/>
        <v>79</v>
      </c>
      <c r="K13" s="20">
        <f t="shared" si="2"/>
        <v>0.79</v>
      </c>
      <c r="L13" s="21" t="str">
        <f t="shared" si="3"/>
        <v>FAIL</v>
      </c>
      <c r="M13" s="24"/>
    </row>
    <row r="14" spans="1:15" ht="15.5" thickTop="1" thickBot="1" x14ac:dyDescent="0.4">
      <c r="A14" s="16" t="s">
        <v>20</v>
      </c>
      <c r="B14" s="16" t="s">
        <v>40</v>
      </c>
      <c r="C14" s="23">
        <v>91</v>
      </c>
      <c r="D14" s="23">
        <v>78</v>
      </c>
      <c r="E14" s="23">
        <v>74</v>
      </c>
      <c r="F14" s="23">
        <v>73</v>
      </c>
      <c r="G14" s="23">
        <v>79</v>
      </c>
      <c r="H14" s="18">
        <f t="shared" si="0"/>
        <v>395</v>
      </c>
      <c r="I14" s="25">
        <v>500</v>
      </c>
      <c r="J14" s="19">
        <f t="shared" si="1"/>
        <v>79</v>
      </c>
      <c r="K14" s="20">
        <f t="shared" si="2"/>
        <v>0.79</v>
      </c>
      <c r="L14" s="21" t="str">
        <f t="shared" si="3"/>
        <v>FAIL</v>
      </c>
      <c r="M14" s="24"/>
    </row>
    <row r="15" spans="1:15" ht="15.5" thickTop="1" thickBot="1" x14ac:dyDescent="0.4">
      <c r="A15" s="16" t="s">
        <v>21</v>
      </c>
      <c r="B15" s="16" t="s">
        <v>41</v>
      </c>
      <c r="C15" s="23">
        <v>84</v>
      </c>
      <c r="D15" s="23">
        <v>75</v>
      </c>
      <c r="E15" s="23">
        <v>84</v>
      </c>
      <c r="F15" s="23">
        <v>72</v>
      </c>
      <c r="G15" s="23">
        <v>86</v>
      </c>
      <c r="H15" s="18">
        <f t="shared" si="0"/>
        <v>401</v>
      </c>
      <c r="I15" s="25">
        <v>500</v>
      </c>
      <c r="J15" s="19">
        <f t="shared" si="1"/>
        <v>80.2</v>
      </c>
      <c r="K15" s="20">
        <f t="shared" si="2"/>
        <v>0.80200000000000005</v>
      </c>
      <c r="L15" s="21" t="str">
        <f t="shared" si="3"/>
        <v>PASS</v>
      </c>
      <c r="M15" s="24"/>
    </row>
    <row r="16" spans="1:15" ht="15.5" thickTop="1" thickBot="1" x14ac:dyDescent="0.4">
      <c r="A16" s="16" t="s">
        <v>22</v>
      </c>
      <c r="B16" s="16" t="s">
        <v>42</v>
      </c>
      <c r="C16" s="23">
        <v>85</v>
      </c>
      <c r="D16" s="23">
        <v>88</v>
      </c>
      <c r="E16" s="23">
        <v>87</v>
      </c>
      <c r="F16" s="23">
        <v>74</v>
      </c>
      <c r="G16" s="23">
        <v>84</v>
      </c>
      <c r="H16" s="18">
        <f t="shared" si="0"/>
        <v>418</v>
      </c>
      <c r="I16" s="25">
        <v>500</v>
      </c>
      <c r="J16" s="19">
        <f t="shared" si="1"/>
        <v>83.6</v>
      </c>
      <c r="K16" s="20">
        <f t="shared" si="2"/>
        <v>0.83599999999999997</v>
      </c>
      <c r="L16" s="21" t="str">
        <f t="shared" si="3"/>
        <v>PASS</v>
      </c>
      <c r="M16" s="24"/>
    </row>
    <row r="17" spans="1:13" ht="15.5" thickTop="1" thickBot="1" x14ac:dyDescent="0.4">
      <c r="A17" s="16" t="s">
        <v>23</v>
      </c>
      <c r="B17" s="16" t="s">
        <v>43</v>
      </c>
      <c r="C17" s="23">
        <v>76</v>
      </c>
      <c r="D17" s="23">
        <v>86</v>
      </c>
      <c r="E17" s="23">
        <v>87</v>
      </c>
      <c r="F17" s="23">
        <v>75</v>
      </c>
      <c r="G17" s="23">
        <v>85</v>
      </c>
      <c r="H17" s="18">
        <f t="shared" si="0"/>
        <v>409</v>
      </c>
      <c r="I17" s="25">
        <v>500</v>
      </c>
      <c r="J17" s="19">
        <f t="shared" si="1"/>
        <v>81.8</v>
      </c>
      <c r="K17" s="20">
        <f t="shared" si="2"/>
        <v>0.81799999999999995</v>
      </c>
      <c r="L17" s="21" t="str">
        <f t="shared" si="3"/>
        <v>PASS</v>
      </c>
      <c r="M17" s="24"/>
    </row>
    <row r="18" spans="1:13" ht="15.5" thickTop="1" thickBot="1" x14ac:dyDescent="0.4">
      <c r="A18" s="16" t="s">
        <v>24</v>
      </c>
      <c r="B18" s="16" t="s">
        <v>44</v>
      </c>
      <c r="C18" s="23">
        <v>74</v>
      </c>
      <c r="D18" s="23">
        <v>85</v>
      </c>
      <c r="E18" s="23">
        <v>89</v>
      </c>
      <c r="F18" s="23">
        <v>77</v>
      </c>
      <c r="G18" s="23">
        <v>87</v>
      </c>
      <c r="H18" s="18">
        <f t="shared" si="0"/>
        <v>412</v>
      </c>
      <c r="I18" s="25">
        <v>500</v>
      </c>
      <c r="J18" s="19">
        <f t="shared" si="1"/>
        <v>82.4</v>
      </c>
      <c r="K18" s="20">
        <f t="shared" si="2"/>
        <v>0.82399999999999995</v>
      </c>
      <c r="L18" s="21" t="str">
        <f t="shared" si="3"/>
        <v>PASS</v>
      </c>
      <c r="M18" s="24"/>
    </row>
    <row r="19" spans="1:13" ht="15.5" thickTop="1" thickBot="1" x14ac:dyDescent="0.4">
      <c r="A19" s="16" t="s">
        <v>25</v>
      </c>
      <c r="B19" s="16" t="s">
        <v>45</v>
      </c>
      <c r="C19" s="23">
        <v>73</v>
      </c>
      <c r="D19" s="23">
        <v>84</v>
      </c>
      <c r="E19" s="23">
        <v>84</v>
      </c>
      <c r="F19" s="23">
        <v>79</v>
      </c>
      <c r="G19" s="23">
        <v>88</v>
      </c>
      <c r="H19" s="18">
        <f t="shared" si="0"/>
        <v>408</v>
      </c>
      <c r="I19" s="25">
        <v>500</v>
      </c>
      <c r="J19" s="19">
        <f t="shared" si="1"/>
        <v>81.599999999999994</v>
      </c>
      <c r="K19" s="20">
        <f t="shared" si="2"/>
        <v>0.81599999999999995</v>
      </c>
      <c r="L19" s="21" t="str">
        <f t="shared" si="3"/>
        <v>PASS</v>
      </c>
      <c r="M19" s="24"/>
    </row>
    <row r="20" spans="1:13" ht="15.5" thickTop="1" thickBot="1" x14ac:dyDescent="0.4">
      <c r="A20" s="16" t="s">
        <v>26</v>
      </c>
      <c r="B20" s="16" t="s">
        <v>46</v>
      </c>
      <c r="C20" s="23">
        <v>71</v>
      </c>
      <c r="D20" s="23">
        <v>83</v>
      </c>
      <c r="E20" s="23">
        <v>65</v>
      </c>
      <c r="F20" s="23">
        <v>69</v>
      </c>
      <c r="G20" s="23">
        <v>89</v>
      </c>
      <c r="H20" s="18">
        <f t="shared" si="0"/>
        <v>377</v>
      </c>
      <c r="I20" s="25">
        <v>500</v>
      </c>
      <c r="J20" s="19">
        <f t="shared" si="1"/>
        <v>75.400000000000006</v>
      </c>
      <c r="K20" s="20">
        <f t="shared" si="2"/>
        <v>0.754</v>
      </c>
      <c r="L20" s="21" t="str">
        <f t="shared" si="3"/>
        <v>FAIL</v>
      </c>
      <c r="M20" s="24"/>
    </row>
    <row r="21" spans="1:13" ht="15.5" thickTop="1" thickBot="1" x14ac:dyDescent="0.4">
      <c r="A21" s="16" t="s">
        <v>27</v>
      </c>
      <c r="B21" s="16" t="s">
        <v>47</v>
      </c>
      <c r="C21" s="23">
        <v>72</v>
      </c>
      <c r="D21" s="23">
        <v>81</v>
      </c>
      <c r="E21" s="23">
        <v>66</v>
      </c>
      <c r="F21" s="23">
        <v>67</v>
      </c>
      <c r="G21" s="23">
        <v>88</v>
      </c>
      <c r="H21" s="18">
        <f t="shared" si="0"/>
        <v>374</v>
      </c>
      <c r="I21" s="25">
        <v>500</v>
      </c>
      <c r="J21" s="19">
        <f t="shared" si="1"/>
        <v>74.8</v>
      </c>
      <c r="K21" s="20">
        <f t="shared" si="2"/>
        <v>0.748</v>
      </c>
      <c r="L21" s="21" t="str">
        <f t="shared" si="3"/>
        <v>FAIL</v>
      </c>
      <c r="M21" s="24"/>
    </row>
    <row r="22" spans="1:13" ht="15.5" thickTop="1" thickBot="1" x14ac:dyDescent="0.4">
      <c r="A22" s="16" t="s">
        <v>28</v>
      </c>
      <c r="B22" s="16" t="s">
        <v>48</v>
      </c>
      <c r="C22" s="23">
        <v>76</v>
      </c>
      <c r="D22" s="23">
        <v>80</v>
      </c>
      <c r="E22" s="23">
        <v>64</v>
      </c>
      <c r="F22" s="23">
        <v>66</v>
      </c>
      <c r="G22" s="23">
        <v>84</v>
      </c>
      <c r="H22" s="18">
        <f t="shared" si="0"/>
        <v>370</v>
      </c>
      <c r="I22" s="25">
        <v>500</v>
      </c>
      <c r="J22" s="19">
        <f t="shared" si="1"/>
        <v>74</v>
      </c>
      <c r="K22" s="20">
        <f t="shared" si="2"/>
        <v>0.74</v>
      </c>
      <c r="L22" s="21" t="str">
        <f t="shared" si="3"/>
        <v>FAIL</v>
      </c>
      <c r="M22" s="24"/>
    </row>
  </sheetData>
  <mergeCells count="1">
    <mergeCell ref="C1:J1"/>
  </mergeCells>
  <phoneticPr fontId="2" type="noConversion"/>
  <conditionalFormatting sqref="J3:J22">
    <cfRule type="cellIs" dxfId="5" priority="5" operator="lessThan">
      <formula>80</formula>
    </cfRule>
    <cfRule type="cellIs" dxfId="4" priority="6" operator="greaterThan">
      <formula>80</formula>
    </cfRule>
  </conditionalFormatting>
  <conditionalFormatting sqref="K3:K22">
    <cfRule type="cellIs" dxfId="3" priority="3" operator="lessThan">
      <formula>0.8</formula>
    </cfRule>
    <cfRule type="cellIs" dxfId="2" priority="4" operator="greaterThan">
      <formula>0.8</formula>
    </cfRule>
  </conditionalFormatting>
  <conditionalFormatting sqref="L3:M22 N4">
    <cfRule type="containsText" dxfId="1" priority="1" operator="containsText" text="PASS">
      <formula>NOT(ISERROR(SEARCH("PASS",L3)))</formula>
    </cfRule>
    <cfRule type="containsText" dxfId="0" priority="2" operator="containsText" text="FAIL">
      <formula>NOT(ISERROR(SEARCH("FAIL",L3)))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Joshi</dc:creator>
  <cp:lastModifiedBy>Nitin Joshi</cp:lastModifiedBy>
  <dcterms:created xsi:type="dcterms:W3CDTF">2025-10-07T08:48:51Z</dcterms:created>
  <dcterms:modified xsi:type="dcterms:W3CDTF">2025-10-07T09:39:06Z</dcterms:modified>
</cp:coreProperties>
</file>