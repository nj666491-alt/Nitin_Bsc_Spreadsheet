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aer\OneDrive\Documents\"/>
    </mc:Choice>
  </mc:AlternateContent>
  <xr:revisionPtr revIDLastSave="0" documentId="13_ncr:1_{B0A586DB-8B81-43F8-8ACB-1C4C6DC41955}" xr6:coauthVersionLast="47" xr6:coauthVersionMax="47" xr10:uidLastSave="{00000000-0000-0000-0000-000000000000}"/>
  <bookViews>
    <workbookView xWindow="-110" yWindow="-110" windowWidth="19420" windowHeight="10300" activeTab="1" xr2:uid="{F8EC203C-B4DF-456F-A452-0B0A803B1B3B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3" i="2" l="1"/>
  <c r="I4" i="2"/>
  <c r="I5" i="2"/>
  <c r="I6" i="2"/>
  <c r="I7" i="2"/>
  <c r="I8" i="2"/>
  <c r="I9" i="2"/>
  <c r="I10" i="2"/>
  <c r="I11" i="2"/>
  <c r="I12" i="2"/>
  <c r="I13" i="2"/>
  <c r="I14" i="2"/>
  <c r="I15" i="2"/>
  <c r="I2" i="2"/>
  <c r="F3" i="2"/>
  <c r="H3" i="2" s="1"/>
  <c r="F4" i="2"/>
  <c r="H4" i="2" s="1"/>
  <c r="F5" i="2"/>
  <c r="H5" i="2" s="1"/>
  <c r="F6" i="2"/>
  <c r="H6" i="2" s="1"/>
  <c r="F7" i="2"/>
  <c r="H7" i="2" s="1"/>
  <c r="F8" i="2"/>
  <c r="H8" i="2" s="1"/>
  <c r="F9" i="2"/>
  <c r="H9" i="2" s="1"/>
  <c r="F10" i="2"/>
  <c r="H10" i="2" s="1"/>
  <c r="F11" i="2"/>
  <c r="H11" i="2" s="1"/>
  <c r="F12" i="2"/>
  <c r="H12" i="2" s="1"/>
  <c r="F13" i="2"/>
  <c r="H13" i="2" s="1"/>
  <c r="F14" i="2"/>
  <c r="H14" i="2" s="1"/>
  <c r="F15" i="2"/>
  <c r="H15" i="2" s="1"/>
  <c r="F2" i="2"/>
  <c r="H2" i="2" s="1"/>
  <c r="H14" i="1"/>
  <c r="L12" i="1"/>
  <c r="L10" i="1"/>
  <c r="J3" i="1"/>
  <c r="J4" i="1"/>
  <c r="J5" i="1"/>
  <c r="J6" i="1"/>
  <c r="J7" i="1"/>
  <c r="J8" i="1"/>
  <c r="J9" i="1"/>
  <c r="J10" i="1"/>
  <c r="J11" i="1"/>
  <c r="J2" i="1"/>
  <c r="H9" i="1"/>
  <c r="H3" i="1"/>
  <c r="H4" i="1"/>
  <c r="H5" i="1"/>
  <c r="H6" i="1"/>
  <c r="H7" i="1"/>
  <c r="H8" i="1"/>
  <c r="H10" i="1"/>
  <c r="H11" i="1"/>
  <c r="H2" i="1"/>
</calcChain>
</file>

<file path=xl/sharedStrings.xml><?xml version="1.0" encoding="utf-8"?>
<sst xmlns="http://schemas.openxmlformats.org/spreadsheetml/2006/main" count="49" uniqueCount="47">
  <si>
    <t xml:space="preserve">Name </t>
  </si>
  <si>
    <t>College</t>
  </si>
  <si>
    <t>Location</t>
  </si>
  <si>
    <t>Joining Date</t>
  </si>
  <si>
    <t>Admission ID</t>
  </si>
  <si>
    <t>S.NO.</t>
  </si>
  <si>
    <t>Mukesh</t>
  </si>
  <si>
    <t>Rakesh</t>
  </si>
  <si>
    <t>Suraj</t>
  </si>
  <si>
    <t>Sagar</t>
  </si>
  <si>
    <t>Punit</t>
  </si>
  <si>
    <t>Raghav</t>
  </si>
  <si>
    <t>Rohit</t>
  </si>
  <si>
    <t>Rohan</t>
  </si>
  <si>
    <t>Ritik</t>
  </si>
  <si>
    <t>Jash</t>
  </si>
  <si>
    <t>IIT, Roorkee</t>
  </si>
  <si>
    <t>IIT,Madras</t>
  </si>
  <si>
    <t>NIT,Chennai</t>
  </si>
  <si>
    <t>IISCER,Banglore</t>
  </si>
  <si>
    <t>IISCER,Mohali</t>
  </si>
  <si>
    <t>Graphic Era,Dehradun</t>
  </si>
  <si>
    <t>Haridwar university</t>
  </si>
  <si>
    <t>Quantam university</t>
  </si>
  <si>
    <t>COER University</t>
  </si>
  <si>
    <t>IIT,Guwhati</t>
  </si>
  <si>
    <t>Roorkee</t>
  </si>
  <si>
    <t>Madras</t>
  </si>
  <si>
    <t>Chennai</t>
  </si>
  <si>
    <t>Banglore</t>
  </si>
  <si>
    <t>Mohali</t>
  </si>
  <si>
    <t>Dehradun</t>
  </si>
  <si>
    <t>Guwhati</t>
  </si>
  <si>
    <t>Haridwar</t>
  </si>
  <si>
    <t>multiply</t>
  </si>
  <si>
    <t>subtract</t>
  </si>
  <si>
    <t xml:space="preserve">date </t>
  </si>
  <si>
    <t>english</t>
  </si>
  <si>
    <t>hindi</t>
  </si>
  <si>
    <t>math</t>
  </si>
  <si>
    <t>science</t>
  </si>
  <si>
    <t>s science</t>
  </si>
  <si>
    <t xml:space="preserve">total marks </t>
  </si>
  <si>
    <t>marks obtained</t>
  </si>
  <si>
    <t>percentage</t>
  </si>
  <si>
    <t>SUBJECTS</t>
  </si>
  <si>
    <t>Accurate % 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</si>
</sst>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Algerian"/>
      <family val="5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6">
    <xf numFmtId="0" fontId="0" fillId="0" borderId="0" xfId="0"/>
    <xf numFmtId="14" fontId="0" fillId="0" borderId="0" xfId="0" applyNumberFormat="1"/>
    <xf numFmtId="0" fontId="0" fillId="0" borderId="0" xfId="0" applyAlignment="1">
      <alignment horizontal="center"/>
    </xf>
    <xf numFmtId="9" fontId="0" fillId="0" borderId="0" xfId="1" applyFont="1" applyAlignment="1">
      <alignment horizontal="center"/>
    </xf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</cellXfs>
  <cellStyles count="2">
    <cellStyle name="Normal" xfId="0" builtinId="0"/>
    <cellStyle name="Percent" xfId="1" builtinId="5"/>
  </cellStyles>
  <dxfs count="6"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DFA7E8-5B9A-4650-BE52-30F0ADB82665}">
  <dimension ref="A1:L14"/>
  <sheetViews>
    <sheetView workbookViewId="0">
      <selection activeCell="C15" sqref="C15"/>
    </sheetView>
  </sheetViews>
  <sheetFormatPr defaultRowHeight="14.5" x14ac:dyDescent="0.35"/>
  <cols>
    <col min="3" max="3" width="11" customWidth="1"/>
    <col min="4" max="4" width="25.6328125" customWidth="1"/>
    <col min="5" max="5" width="12.6328125" customWidth="1"/>
    <col min="6" max="6" width="14.08984375" customWidth="1"/>
    <col min="7" max="7" width="16" customWidth="1"/>
    <col min="8" max="8" width="10.81640625" bestFit="1" customWidth="1"/>
    <col min="10" max="10" width="10.08984375" bestFit="1" customWidth="1"/>
  </cols>
  <sheetData>
    <row r="1" spans="1:12" x14ac:dyDescent="0.35">
      <c r="A1" t="s">
        <v>5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H1" t="s">
        <v>34</v>
      </c>
      <c r="I1" t="s">
        <v>35</v>
      </c>
      <c r="J1" t="s">
        <v>36</v>
      </c>
    </row>
    <row r="2" spans="1:12" x14ac:dyDescent="0.35">
      <c r="A2" s="2">
        <v>1</v>
      </c>
      <c r="B2" t="s">
        <v>6</v>
      </c>
      <c r="C2" t="s">
        <v>16</v>
      </c>
      <c r="D2" t="s">
        <v>26</v>
      </c>
      <c r="E2" s="1">
        <v>45945</v>
      </c>
      <c r="F2">
        <v>112345</v>
      </c>
      <c r="G2">
        <v>123</v>
      </c>
      <c r="H2">
        <f>(F2*G2)</f>
        <v>13818435</v>
      </c>
      <c r="J2" s="1">
        <f>DATE(2025,1,11)</f>
        <v>45668</v>
      </c>
    </row>
    <row r="3" spans="1:12" x14ac:dyDescent="0.35">
      <c r="A3" s="2">
        <v>2</v>
      </c>
      <c r="B3" t="s">
        <v>7</v>
      </c>
      <c r="C3" t="s">
        <v>17</v>
      </c>
      <c r="D3" t="s">
        <v>27</v>
      </c>
      <c r="E3" s="1">
        <v>45942</v>
      </c>
      <c r="F3">
        <v>112356</v>
      </c>
      <c r="G3">
        <v>3456</v>
      </c>
      <c r="H3">
        <f t="shared" ref="H3:H11" si="0">(F3*G3)</f>
        <v>388302336</v>
      </c>
      <c r="J3" s="1">
        <f t="shared" ref="J3:J11" si="1">DATE(2025,1,11)</f>
        <v>45668</v>
      </c>
    </row>
    <row r="4" spans="1:12" x14ac:dyDescent="0.35">
      <c r="A4" s="2">
        <v>3</v>
      </c>
      <c r="B4" t="s">
        <v>8</v>
      </c>
      <c r="C4" t="s">
        <v>18</v>
      </c>
      <c r="D4" t="s">
        <v>28</v>
      </c>
      <c r="E4" s="1">
        <v>45943</v>
      </c>
      <c r="F4">
        <v>112387</v>
      </c>
      <c r="G4">
        <v>333</v>
      </c>
      <c r="H4">
        <f t="shared" si="0"/>
        <v>37424871</v>
      </c>
      <c r="J4" s="1">
        <f t="shared" si="1"/>
        <v>45668</v>
      </c>
    </row>
    <row r="5" spans="1:12" x14ac:dyDescent="0.35">
      <c r="A5" s="2">
        <v>4</v>
      </c>
      <c r="B5" t="s">
        <v>9</v>
      </c>
      <c r="C5" t="s">
        <v>19</v>
      </c>
      <c r="D5" t="s">
        <v>29</v>
      </c>
      <c r="E5" s="1">
        <v>45941</v>
      </c>
      <c r="F5">
        <v>112398</v>
      </c>
      <c r="G5">
        <v>234</v>
      </c>
      <c r="H5">
        <f t="shared" si="0"/>
        <v>26301132</v>
      </c>
      <c r="J5" s="1">
        <f t="shared" si="1"/>
        <v>45668</v>
      </c>
    </row>
    <row r="6" spans="1:12" x14ac:dyDescent="0.35">
      <c r="A6" s="2">
        <v>5</v>
      </c>
      <c r="B6" t="s">
        <v>10</v>
      </c>
      <c r="C6" t="s">
        <v>20</v>
      </c>
      <c r="D6" t="s">
        <v>30</v>
      </c>
      <c r="E6" s="1">
        <v>45948</v>
      </c>
      <c r="F6">
        <v>112349</v>
      </c>
      <c r="G6">
        <v>12345</v>
      </c>
      <c r="H6">
        <f t="shared" si="0"/>
        <v>1386948405</v>
      </c>
      <c r="J6" s="1">
        <f t="shared" si="1"/>
        <v>45668</v>
      </c>
    </row>
    <row r="7" spans="1:12" x14ac:dyDescent="0.35">
      <c r="A7" s="2">
        <v>6</v>
      </c>
      <c r="B7" t="s">
        <v>11</v>
      </c>
      <c r="C7" t="s">
        <v>21</v>
      </c>
      <c r="D7" t="s">
        <v>31</v>
      </c>
      <c r="E7" s="1">
        <v>45949</v>
      </c>
      <c r="F7">
        <v>112356</v>
      </c>
      <c r="G7">
        <v>1342</v>
      </c>
      <c r="H7">
        <f t="shared" si="0"/>
        <v>150781752</v>
      </c>
      <c r="J7" s="1">
        <f t="shared" si="1"/>
        <v>45668</v>
      </c>
    </row>
    <row r="8" spans="1:12" x14ac:dyDescent="0.35">
      <c r="A8" s="2">
        <v>7</v>
      </c>
      <c r="B8" t="s">
        <v>12</v>
      </c>
      <c r="C8" t="s">
        <v>22</v>
      </c>
      <c r="D8" t="s">
        <v>33</v>
      </c>
      <c r="E8" s="1">
        <v>45951</v>
      </c>
      <c r="F8">
        <v>112361</v>
      </c>
      <c r="G8">
        <v>14</v>
      </c>
      <c r="H8">
        <f t="shared" si="0"/>
        <v>1573054</v>
      </c>
      <c r="J8" s="1">
        <f t="shared" si="1"/>
        <v>45668</v>
      </c>
    </row>
    <row r="9" spans="1:12" x14ac:dyDescent="0.35">
      <c r="A9" s="2">
        <v>8</v>
      </c>
      <c r="B9" t="s">
        <v>13</v>
      </c>
      <c r="C9" t="s">
        <v>23</v>
      </c>
      <c r="D9" t="s">
        <v>26</v>
      </c>
      <c r="E9" s="1">
        <v>45952</v>
      </c>
      <c r="F9">
        <v>112362</v>
      </c>
      <c r="G9">
        <v>12343</v>
      </c>
      <c r="H9">
        <f>(F9*G9)</f>
        <v>1386884166</v>
      </c>
      <c r="J9" s="1">
        <f t="shared" si="1"/>
        <v>45668</v>
      </c>
    </row>
    <row r="10" spans="1:12" x14ac:dyDescent="0.35">
      <c r="A10" s="2">
        <v>9</v>
      </c>
      <c r="B10" t="s">
        <v>14</v>
      </c>
      <c r="C10" t="s">
        <v>24</v>
      </c>
      <c r="D10" t="s">
        <v>26</v>
      </c>
      <c r="E10" s="1">
        <v>45953</v>
      </c>
      <c r="F10">
        <v>112373</v>
      </c>
      <c r="G10">
        <v>53</v>
      </c>
      <c r="H10">
        <f t="shared" si="0"/>
        <v>5955769</v>
      </c>
      <c r="J10" s="1">
        <f t="shared" si="1"/>
        <v>45668</v>
      </c>
      <c r="L10" t="b">
        <f>ISNUMBER(D6)</f>
        <v>0</v>
      </c>
    </row>
    <row r="11" spans="1:12" x14ac:dyDescent="0.35">
      <c r="A11" s="2">
        <v>10</v>
      </c>
      <c r="B11" t="s">
        <v>15</v>
      </c>
      <c r="C11" t="s">
        <v>25</v>
      </c>
      <c r="D11" t="s">
        <v>32</v>
      </c>
      <c r="E11" s="1">
        <v>45954</v>
      </c>
      <c r="F11">
        <v>112384</v>
      </c>
      <c r="G11">
        <v>667</v>
      </c>
      <c r="H11">
        <f t="shared" si="0"/>
        <v>74960128</v>
      </c>
      <c r="J11" s="1">
        <f t="shared" si="1"/>
        <v>45668</v>
      </c>
    </row>
    <row r="12" spans="1:12" x14ac:dyDescent="0.35">
      <c r="L12" t="b">
        <f>ISNUMBER(F9)</f>
        <v>1</v>
      </c>
    </row>
    <row r="14" spans="1:12" x14ac:dyDescent="0.35">
      <c r="H14" t="b">
        <f>ISTEXT(F8)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E614DA-28F1-4EA6-A5FB-5E31FDE5F9D1}">
  <dimension ref="A1:I31"/>
  <sheetViews>
    <sheetView tabSelected="1" workbookViewId="0">
      <selection activeCell="K13" sqref="K13"/>
    </sheetView>
  </sheetViews>
  <sheetFormatPr defaultRowHeight="14.5" x14ac:dyDescent="0.35"/>
  <cols>
    <col min="5" max="8" width="16.08984375" customWidth="1"/>
    <col min="9" max="9" width="13.453125" bestFit="1" customWidth="1"/>
  </cols>
  <sheetData>
    <row r="1" spans="1:9" ht="16" x14ac:dyDescent="0.4">
      <c r="A1" s="5" t="s">
        <v>45</v>
      </c>
      <c r="B1" s="4"/>
      <c r="C1" s="4"/>
      <c r="D1" s="4"/>
      <c r="E1" s="4"/>
      <c r="F1" t="s">
        <v>42</v>
      </c>
      <c r="G1" t="s">
        <v>43</v>
      </c>
      <c r="H1" t="s">
        <v>44</v>
      </c>
      <c r="I1" t="s">
        <v>46</v>
      </c>
    </row>
    <row r="2" spans="1:9" x14ac:dyDescent="0.35">
      <c r="A2" t="s">
        <v>37</v>
      </c>
      <c r="B2" t="s">
        <v>38</v>
      </c>
      <c r="C2" t="s">
        <v>39</v>
      </c>
      <c r="D2" t="s">
        <v>40</v>
      </c>
      <c r="E2" t="s">
        <v>41</v>
      </c>
      <c r="F2" s="2">
        <f>SUM(A3:E3)</f>
        <v>434</v>
      </c>
      <c r="G2" s="2">
        <v>500</v>
      </c>
      <c r="H2" s="3">
        <f>(F2/G2)</f>
        <v>0.86799999999999999</v>
      </c>
      <c r="I2">
        <f>AVERAGE(A3:E3)</f>
        <v>86.8</v>
      </c>
    </row>
    <row r="3" spans="1:9" x14ac:dyDescent="0.35">
      <c r="A3" s="2">
        <v>90</v>
      </c>
      <c r="B3" s="2">
        <v>91</v>
      </c>
      <c r="C3" s="2">
        <v>87</v>
      </c>
      <c r="D3" s="2">
        <v>78</v>
      </c>
      <c r="E3" s="2">
        <v>88</v>
      </c>
      <c r="F3" s="2">
        <f>SUM(A4:E4)</f>
        <v>418</v>
      </c>
      <c r="G3" s="2">
        <v>500</v>
      </c>
      <c r="H3" s="3">
        <f>(F3/G3)</f>
        <v>0.83599999999999997</v>
      </c>
      <c r="I3">
        <f t="shared" ref="I3:I15" si="0">AVERAGE(A4:E4)</f>
        <v>83.6</v>
      </c>
    </row>
    <row r="4" spans="1:9" x14ac:dyDescent="0.35">
      <c r="A4" s="2">
        <v>88</v>
      </c>
      <c r="B4" s="2">
        <v>87</v>
      </c>
      <c r="C4" s="2">
        <v>85</v>
      </c>
      <c r="D4" s="2">
        <v>75</v>
      </c>
      <c r="E4" s="2">
        <v>83</v>
      </c>
      <c r="F4" s="2">
        <f>SUM(A5:E5)</f>
        <v>402</v>
      </c>
      <c r="G4" s="2">
        <v>500</v>
      </c>
      <c r="H4" s="3">
        <f>(F4/G4)</f>
        <v>0.80400000000000005</v>
      </c>
      <c r="I4">
        <f t="shared" si="0"/>
        <v>80.400000000000006</v>
      </c>
    </row>
    <row r="5" spans="1:9" x14ac:dyDescent="0.35">
      <c r="A5" s="2">
        <v>86</v>
      </c>
      <c r="B5" s="2">
        <v>83</v>
      </c>
      <c r="C5" s="2">
        <v>83</v>
      </c>
      <c r="D5" s="2">
        <v>72</v>
      </c>
      <c r="E5" s="2">
        <v>78</v>
      </c>
      <c r="F5" s="2">
        <f>SUM(A6:E6)</f>
        <v>386</v>
      </c>
      <c r="G5" s="2">
        <v>500</v>
      </c>
      <c r="H5" s="3">
        <f>(F5/G5)</f>
        <v>0.77200000000000002</v>
      </c>
      <c r="I5">
        <f t="shared" si="0"/>
        <v>77.2</v>
      </c>
    </row>
    <row r="6" spans="1:9" x14ac:dyDescent="0.35">
      <c r="A6" s="2">
        <v>84</v>
      </c>
      <c r="B6" s="2">
        <v>79</v>
      </c>
      <c r="C6" s="2">
        <v>81</v>
      </c>
      <c r="D6" s="2">
        <v>69</v>
      </c>
      <c r="E6" s="2">
        <v>73</v>
      </c>
      <c r="F6" s="2">
        <f>SUM(A7:E7)</f>
        <v>370</v>
      </c>
      <c r="G6" s="2">
        <v>500</v>
      </c>
      <c r="H6" s="3">
        <f>(F6/G6)</f>
        <v>0.74</v>
      </c>
      <c r="I6">
        <f t="shared" si="0"/>
        <v>74</v>
      </c>
    </row>
    <row r="7" spans="1:9" x14ac:dyDescent="0.35">
      <c r="A7" s="2">
        <v>82</v>
      </c>
      <c r="B7" s="2">
        <v>75</v>
      </c>
      <c r="C7" s="2">
        <v>79</v>
      </c>
      <c r="D7" s="2">
        <v>66</v>
      </c>
      <c r="E7" s="2">
        <v>68</v>
      </c>
      <c r="F7" s="2">
        <f>SUM(A8:E8)</f>
        <v>354</v>
      </c>
      <c r="G7" s="2">
        <v>500</v>
      </c>
      <c r="H7" s="3">
        <f>(F7/G7)</f>
        <v>0.70799999999999996</v>
      </c>
      <c r="I7">
        <f t="shared" si="0"/>
        <v>70.8</v>
      </c>
    </row>
    <row r="8" spans="1:9" x14ac:dyDescent="0.35">
      <c r="A8" s="2">
        <v>80</v>
      </c>
      <c r="B8" s="2">
        <v>71</v>
      </c>
      <c r="C8" s="2">
        <v>77</v>
      </c>
      <c r="D8" s="2">
        <v>63</v>
      </c>
      <c r="E8" s="2">
        <v>63</v>
      </c>
      <c r="F8" s="2">
        <f>SUM(A9:E9)</f>
        <v>338</v>
      </c>
      <c r="G8" s="2">
        <v>500</v>
      </c>
      <c r="H8" s="3">
        <f>(F8/G8)</f>
        <v>0.67600000000000005</v>
      </c>
      <c r="I8">
        <f t="shared" si="0"/>
        <v>67.599999999999994</v>
      </c>
    </row>
    <row r="9" spans="1:9" x14ac:dyDescent="0.35">
      <c r="A9" s="2">
        <v>78</v>
      </c>
      <c r="B9" s="2">
        <v>67</v>
      </c>
      <c r="C9" s="2">
        <v>75</v>
      </c>
      <c r="D9" s="2">
        <v>60</v>
      </c>
      <c r="E9" s="2">
        <v>58</v>
      </c>
      <c r="F9" s="2">
        <f>SUM(A10:E10)</f>
        <v>322</v>
      </c>
      <c r="G9" s="2">
        <v>500</v>
      </c>
      <c r="H9" s="3">
        <f>(F9/G9)</f>
        <v>0.64400000000000002</v>
      </c>
      <c r="I9">
        <f t="shared" si="0"/>
        <v>64.400000000000006</v>
      </c>
    </row>
    <row r="10" spans="1:9" x14ac:dyDescent="0.35">
      <c r="A10" s="2">
        <v>76</v>
      </c>
      <c r="B10" s="2">
        <v>63</v>
      </c>
      <c r="C10" s="2">
        <v>73</v>
      </c>
      <c r="D10" s="2">
        <v>57</v>
      </c>
      <c r="E10" s="2">
        <v>53</v>
      </c>
      <c r="F10" s="2">
        <f>SUM(A11:E11)</f>
        <v>306</v>
      </c>
      <c r="G10" s="2">
        <v>500</v>
      </c>
      <c r="H10" s="3">
        <f>(F10/G10)</f>
        <v>0.61199999999999999</v>
      </c>
      <c r="I10">
        <f t="shared" si="0"/>
        <v>61.2</v>
      </c>
    </row>
    <row r="11" spans="1:9" x14ac:dyDescent="0.35">
      <c r="A11" s="2">
        <v>74</v>
      </c>
      <c r="B11" s="2">
        <v>59</v>
      </c>
      <c r="C11" s="2">
        <v>71</v>
      </c>
      <c r="D11" s="2">
        <v>54</v>
      </c>
      <c r="E11" s="2">
        <v>48</v>
      </c>
      <c r="F11" s="2">
        <f>SUM(A12:E12)</f>
        <v>290</v>
      </c>
      <c r="G11" s="2">
        <v>500</v>
      </c>
      <c r="H11" s="3">
        <f>(F11/G11)</f>
        <v>0.57999999999999996</v>
      </c>
      <c r="I11">
        <f t="shared" si="0"/>
        <v>58</v>
      </c>
    </row>
    <row r="12" spans="1:9" x14ac:dyDescent="0.35">
      <c r="A12" s="2">
        <v>72</v>
      </c>
      <c r="B12" s="2">
        <v>55</v>
      </c>
      <c r="C12" s="2">
        <v>69</v>
      </c>
      <c r="D12" s="2">
        <v>51</v>
      </c>
      <c r="E12" s="2">
        <v>43</v>
      </c>
      <c r="F12" s="2">
        <f>SUM(A13:E13)</f>
        <v>274</v>
      </c>
      <c r="G12" s="2">
        <v>500</v>
      </c>
      <c r="H12" s="3">
        <f>(F12/G12)</f>
        <v>0.54800000000000004</v>
      </c>
      <c r="I12">
        <f t="shared" si="0"/>
        <v>54.8</v>
      </c>
    </row>
    <row r="13" spans="1:9" x14ac:dyDescent="0.35">
      <c r="A13" s="2">
        <v>70</v>
      </c>
      <c r="B13" s="2">
        <v>51</v>
      </c>
      <c r="C13" s="2">
        <v>67</v>
      </c>
      <c r="D13" s="2">
        <v>48</v>
      </c>
      <c r="E13" s="2">
        <v>38</v>
      </c>
      <c r="F13" s="2">
        <f>SUM(A14:E14)</f>
        <v>258</v>
      </c>
      <c r="G13" s="2">
        <v>500</v>
      </c>
      <c r="H13" s="3">
        <f>(F13/G13)</f>
        <v>0.51600000000000001</v>
      </c>
      <c r="I13">
        <f t="shared" si="0"/>
        <v>51.6</v>
      </c>
    </row>
    <row r="14" spans="1:9" x14ac:dyDescent="0.35">
      <c r="A14" s="2">
        <v>68</v>
      </c>
      <c r="B14" s="2">
        <v>47</v>
      </c>
      <c r="C14" s="2">
        <v>65</v>
      </c>
      <c r="D14" s="2">
        <v>45</v>
      </c>
      <c r="E14" s="2">
        <v>33</v>
      </c>
      <c r="F14" s="2">
        <f>SUM(A15:E15)</f>
        <v>242</v>
      </c>
      <c r="G14" s="2">
        <v>500</v>
      </c>
      <c r="H14" s="3">
        <f>(F14/G14)</f>
        <v>0.48399999999999999</v>
      </c>
      <c r="I14">
        <f t="shared" si="0"/>
        <v>48.4</v>
      </c>
    </row>
    <row r="15" spans="1:9" x14ac:dyDescent="0.35">
      <c r="A15" s="2">
        <v>66</v>
      </c>
      <c r="B15" s="2">
        <v>43</v>
      </c>
      <c r="C15" s="2">
        <v>63</v>
      </c>
      <c r="D15" s="2">
        <v>42</v>
      </c>
      <c r="E15" s="2">
        <v>28</v>
      </c>
      <c r="F15" s="2">
        <f>SUM(A16:E16)</f>
        <v>226</v>
      </c>
      <c r="G15" s="2">
        <v>500</v>
      </c>
      <c r="H15" s="3">
        <f>(F15/G15)</f>
        <v>0.45200000000000001</v>
      </c>
      <c r="I15">
        <f t="shared" si="0"/>
        <v>45.2</v>
      </c>
    </row>
    <row r="16" spans="1:9" x14ac:dyDescent="0.35">
      <c r="A16" s="2">
        <v>64</v>
      </c>
      <c r="B16" s="2">
        <v>39</v>
      </c>
      <c r="C16" s="2">
        <v>61</v>
      </c>
      <c r="D16" s="2">
        <v>39</v>
      </c>
      <c r="E16" s="2">
        <v>23</v>
      </c>
      <c r="F16" s="2"/>
    </row>
    <row r="17" spans="6:6" x14ac:dyDescent="0.35">
      <c r="F17" s="2"/>
    </row>
    <row r="18" spans="6:6" x14ac:dyDescent="0.35">
      <c r="F18" s="2"/>
    </row>
    <row r="19" spans="6:6" x14ac:dyDescent="0.35">
      <c r="F19" s="2"/>
    </row>
    <row r="20" spans="6:6" x14ac:dyDescent="0.35">
      <c r="F20" s="2"/>
    </row>
    <row r="21" spans="6:6" x14ac:dyDescent="0.35">
      <c r="F21" s="2"/>
    </row>
    <row r="22" spans="6:6" x14ac:dyDescent="0.35">
      <c r="F22" s="2"/>
    </row>
    <row r="23" spans="6:6" x14ac:dyDescent="0.35">
      <c r="F23" s="2"/>
    </row>
    <row r="24" spans="6:6" x14ac:dyDescent="0.35">
      <c r="F24" s="2"/>
    </row>
    <row r="25" spans="6:6" x14ac:dyDescent="0.35">
      <c r="F25" s="2"/>
    </row>
    <row r="26" spans="6:6" x14ac:dyDescent="0.35">
      <c r="F26" s="2"/>
    </row>
    <row r="27" spans="6:6" x14ac:dyDescent="0.35">
      <c r="F27" s="2"/>
    </row>
    <row r="28" spans="6:6" x14ac:dyDescent="0.35">
      <c r="F28" s="2"/>
    </row>
    <row r="29" spans="6:6" x14ac:dyDescent="0.35">
      <c r="F29" s="2"/>
    </row>
    <row r="30" spans="6:6" x14ac:dyDescent="0.35">
      <c r="F30" s="2"/>
    </row>
    <row r="31" spans="6:6" x14ac:dyDescent="0.35">
      <c r="F31" s="2"/>
    </row>
  </sheetData>
  <mergeCells count="1">
    <mergeCell ref="A1:E1"/>
  </mergeCells>
  <conditionalFormatting sqref="I2:I15">
    <cfRule type="cellIs" dxfId="2" priority="1" operator="lessThan">
      <formula>55</formula>
    </cfRule>
    <cfRule type="cellIs" dxfId="1" priority="2" operator="greaterThan">
      <formula>0.5</formula>
    </cfRule>
    <cfRule type="cellIs" dxfId="0" priority="3" operator="greaterThan">
      <formula>0.5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Nitin Joshi</dc:creator>
  <cp:lastModifiedBy>Nitin Joshi</cp:lastModifiedBy>
  <dcterms:created xsi:type="dcterms:W3CDTF">2025-10-03T08:59:40Z</dcterms:created>
  <dcterms:modified xsi:type="dcterms:W3CDTF">2025-10-03T14:39:42Z</dcterms:modified>
</cp:coreProperties>
</file>